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Antônio\Projetos\map-pinpoint-app\src\Services\"/>
    </mc:Choice>
  </mc:AlternateContent>
  <xr:revisionPtr revIDLastSave="0" documentId="13_ncr:1_{B9E371FB-E40E-4F5E-A854-E4901518522F}" xr6:coauthVersionLast="43" xr6:coauthVersionMax="43" xr10:uidLastSave="{00000000-0000-0000-0000-000000000000}"/>
  <bookViews>
    <workbookView xWindow="-120" yWindow="-120" windowWidth="20730" windowHeight="11160" xr2:uid="{010F9FC5-D6A5-4AD3-BFBE-56A1FBB204FB}"/>
  </bookViews>
  <sheets>
    <sheet name="Planilha1" sheetId="1" r:id="rId1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6" i="1" l="1"/>
  <c r="F51" i="1"/>
  <c r="F28" i="1"/>
  <c r="F60" i="1"/>
  <c r="F3" i="1"/>
  <c r="F11" i="1"/>
  <c r="F19" i="1"/>
  <c r="F27" i="1"/>
  <c r="F43" i="1"/>
  <c r="F67" i="1"/>
  <c r="F36" i="1"/>
  <c r="F68" i="1"/>
  <c r="F4" i="1"/>
  <c r="F12" i="1"/>
  <c r="F20" i="1"/>
  <c r="F52" i="1"/>
  <c r="F5" i="1"/>
  <c r="F13" i="1"/>
  <c r="F21" i="1"/>
  <c r="F29" i="1"/>
  <c r="F37" i="1"/>
  <c r="F45" i="1"/>
  <c r="F53" i="1"/>
  <c r="F61" i="1"/>
  <c r="F69" i="1"/>
  <c r="F77" i="1"/>
  <c r="F6" i="1"/>
  <c r="F14" i="1"/>
  <c r="F30" i="1"/>
  <c r="F38" i="1"/>
  <c r="F46" i="1"/>
  <c r="F54" i="1"/>
  <c r="F62" i="1"/>
  <c r="F70" i="1"/>
  <c r="F78" i="1"/>
  <c r="F47" i="1"/>
  <c r="F71" i="1"/>
  <c r="F40" i="1"/>
  <c r="F64" i="1"/>
  <c r="F22" i="1"/>
  <c r="F55" i="1"/>
  <c r="F79" i="1"/>
  <c r="F56" i="1"/>
  <c r="F7" i="1"/>
  <c r="F15" i="1"/>
  <c r="F23" i="1"/>
  <c r="F31" i="1"/>
  <c r="F39" i="1"/>
  <c r="F63" i="1"/>
  <c r="F32" i="1"/>
  <c r="F72" i="1"/>
  <c r="F8" i="1"/>
  <c r="F16" i="1"/>
  <c r="F24" i="1"/>
  <c r="F48" i="1"/>
  <c r="F80" i="1"/>
  <c r="F9" i="1"/>
  <c r="F17" i="1"/>
  <c r="F25" i="1"/>
  <c r="F33" i="1"/>
  <c r="F41" i="1"/>
  <c r="F49" i="1"/>
  <c r="F57" i="1"/>
  <c r="F65" i="1"/>
  <c r="F73" i="1"/>
  <c r="F2" i="1"/>
  <c r="F10" i="1"/>
  <c r="F18" i="1"/>
  <c r="F34" i="1"/>
  <c r="F42" i="1"/>
  <c r="F50" i="1"/>
  <c r="F58" i="1"/>
  <c r="F66" i="1"/>
  <c r="F74" i="1"/>
  <c r="F35" i="1"/>
  <c r="F59" i="1"/>
  <c r="F75" i="1"/>
  <c r="F44" i="1"/>
  <c r="F76" i="1"/>
  <c r="E3" i="1"/>
  <c r="E26" i="1"/>
  <c r="E43" i="1"/>
  <c r="E75" i="1"/>
  <c r="E44" i="1"/>
  <c r="E76" i="1"/>
  <c r="E11" i="1"/>
  <c r="E19" i="1"/>
  <c r="E27" i="1"/>
  <c r="E51" i="1"/>
  <c r="E67" i="1"/>
  <c r="E36" i="1"/>
  <c r="E68" i="1"/>
  <c r="E4" i="1"/>
  <c r="E12" i="1"/>
  <c r="E20" i="1"/>
  <c r="E52" i="1"/>
  <c r="E5" i="1"/>
  <c r="E13" i="1"/>
  <c r="E21" i="1"/>
  <c r="E29" i="1"/>
  <c r="E37" i="1"/>
  <c r="E45" i="1"/>
  <c r="E53" i="1"/>
  <c r="E61" i="1"/>
  <c r="E69" i="1"/>
  <c r="E77" i="1"/>
  <c r="E6" i="1"/>
  <c r="E14" i="1"/>
  <c r="E22" i="1"/>
  <c r="E38" i="1"/>
  <c r="E46" i="1"/>
  <c r="E54" i="1"/>
  <c r="E62" i="1"/>
  <c r="E70" i="1"/>
  <c r="E78" i="1"/>
  <c r="E55" i="1"/>
  <c r="E71" i="1"/>
  <c r="E40" i="1"/>
  <c r="E64" i="1"/>
  <c r="E30" i="1"/>
  <c r="E47" i="1"/>
  <c r="E79" i="1"/>
  <c r="E48" i="1"/>
  <c r="E80" i="1"/>
  <c r="E7" i="1"/>
  <c r="E15" i="1"/>
  <c r="E23" i="1"/>
  <c r="E31" i="1"/>
  <c r="E39" i="1"/>
  <c r="E63" i="1"/>
  <c r="E32" i="1"/>
  <c r="E72" i="1"/>
  <c r="E8" i="1"/>
  <c r="E16" i="1"/>
  <c r="E24" i="1"/>
  <c r="E56" i="1"/>
  <c r="E9" i="1"/>
  <c r="E17" i="1"/>
  <c r="E25" i="1"/>
  <c r="E33" i="1"/>
  <c r="E41" i="1"/>
  <c r="E49" i="1"/>
  <c r="E57" i="1"/>
  <c r="E65" i="1"/>
  <c r="E73" i="1"/>
  <c r="E2" i="1"/>
  <c r="E10" i="1"/>
  <c r="E18" i="1"/>
  <c r="E34" i="1"/>
  <c r="E42" i="1"/>
  <c r="E50" i="1"/>
  <c r="E58" i="1"/>
  <c r="E66" i="1"/>
  <c r="E74" i="1"/>
  <c r="E35" i="1"/>
  <c r="E59" i="1"/>
  <c r="E28" i="1"/>
  <c r="E60" i="1"/>
</calcChain>
</file>

<file path=xl/sharedStrings.xml><?xml version="1.0" encoding="utf-8"?>
<sst xmlns="http://schemas.openxmlformats.org/spreadsheetml/2006/main" count="322" uniqueCount="136">
  <si>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</si>
  <si>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</si>
  <si>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</si>
  <si>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</si>
  <si>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</si>
  <si>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</si>
  <si>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</si>
  <si>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</si>
  <si>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</si>
  <si>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</si>
  <si>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</si>
  <si>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</si>
  <si>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</si>
  <si>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</si>
  <si>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</si>
  <si>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</si>
  <si>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</si>
  <si>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</si>
  <si>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</si>
  <si>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</si>
  <si>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</si>
  <si>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</si>
  <si>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</si>
  <si>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</si>
  <si>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</si>
  <si>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</si>
  <si>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</si>
  <si>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</si>
  <si>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</si>
  <si>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</si>
  <si>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</si>
  <si>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</si>
  <si>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</si>
  <si>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A35</t>
  </si>
  <si>
    <t>A36</t>
  </si>
  <si>
    <t>A37</t>
  </si>
  <si>
    <t>A38</t>
  </si>
  <si>
    <t>V03</t>
  </si>
  <si>
    <t>V02</t>
  </si>
  <si>
    <t>V01</t>
  </si>
  <si>
    <t>I01</t>
  </si>
  <si>
    <t>NHO</t>
  </si>
  <si>
    <t>SLE</t>
  </si>
  <si>
    <t>CBM</t>
  </si>
  <si>
    <t>SPG</t>
  </si>
  <si>
    <t>EVA</t>
  </si>
  <si>
    <t>R. Afonso Pena, 80</t>
  </si>
  <si>
    <t>Cidade</t>
  </si>
  <si>
    <t>Novo Hamburgo</t>
  </si>
  <si>
    <t>R. Onze De Julho, 145</t>
  </si>
  <si>
    <t>R. Marcilio Dias, 1447</t>
  </si>
  <si>
    <t>R. Marcilio Dias, 1077</t>
  </si>
  <si>
    <t>R. Calçadão Oswaldo Cruz, 300</t>
  </si>
  <si>
    <t>R. Do Ipê, 5</t>
  </si>
  <si>
    <t>R. Joaquin Pedro Soares, 394</t>
  </si>
  <si>
    <t>R. Lucas De Oliveira, 40</t>
  </si>
  <si>
    <t>R. Joaquim Nabuco, 435</t>
  </si>
  <si>
    <t>R. Domingos De Almeida, 212</t>
  </si>
  <si>
    <t>R. Bento Gonçalves, 1177</t>
  </si>
  <si>
    <t>R. Bento Gonçalves, 1277</t>
  </si>
  <si>
    <t>R. Bento Gonçalves, 641</t>
  </si>
  <si>
    <t>R. Santa Maria, 99</t>
  </si>
  <si>
    <t>R. Pedro Adans Filho, 2696</t>
  </si>
  <si>
    <t>R. Padre Nobrega, 20</t>
  </si>
  <si>
    <t>R. Corumba, 266</t>
  </si>
  <si>
    <t>R. Gen. Daltro Filho, 2162</t>
  </si>
  <si>
    <t>R. Santo Angelo, 433</t>
  </si>
  <si>
    <t>R. Curitiba, 678</t>
  </si>
  <si>
    <t>R. União Sul Africana, 601</t>
  </si>
  <si>
    <t>R. Visconde De Cairu, 300</t>
  </si>
  <si>
    <t>R. Caracas, 634</t>
  </si>
  <si>
    <t>R. Irma Amalia, 259</t>
  </si>
  <si>
    <t>R. Napoles, 578</t>
  </si>
  <si>
    <t>R. Valkiria Splinder, 155</t>
  </si>
  <si>
    <t>R Amalie Thon, 70</t>
  </si>
  <si>
    <t>R. Maria Do Carmo Miranda Da Cunha, 701</t>
  </si>
  <si>
    <t>R. Plutão, 177</t>
  </si>
  <si>
    <t>R. Pedro Quaresma Da Silva, 1370</t>
  </si>
  <si>
    <t>R. Araçatuba,  452</t>
  </si>
  <si>
    <t>R. Jacinto, 337</t>
  </si>
  <si>
    <t>R. Guaiba, 2108</t>
  </si>
  <si>
    <t>R. Guarujá, 645</t>
  </si>
  <si>
    <t>R. Oswaldo Cruz, 486</t>
  </si>
  <si>
    <t>R. 11 De Julho, 1250</t>
  </si>
  <si>
    <t>R. Pres. Lucena, 3450</t>
  </si>
  <si>
    <t>R. Aldo Locatelli, 193</t>
  </si>
  <si>
    <t>R. João Pedro Schimitt, 130</t>
  </si>
  <si>
    <t>R. Mauricio Cardoso, 1362</t>
  </si>
  <si>
    <t>R. Marques Do Herval, 322</t>
  </si>
  <si>
    <t>R. Primeiro De Marco Esquina Conceição</t>
  </si>
  <si>
    <t>R. Bento Gonçalves, 633</t>
  </si>
  <si>
    <t>R. Conceição, 711</t>
  </si>
  <si>
    <t>R. João Correa, 26</t>
  </si>
  <si>
    <t>R. Pres. Rosevelt, 1221</t>
  </si>
  <si>
    <t>R. Teodomiro Porto Da Fonseca, 515</t>
  </si>
  <si>
    <t>R. Pres. Rosevelt, 121</t>
  </si>
  <si>
    <t>R. São Borja, 925</t>
  </si>
  <si>
    <t>R. Presidente Lucena, 972</t>
  </si>
  <si>
    <t>R. Av. Unisinos, 1550</t>
  </si>
  <si>
    <t>R. Av. Feitoria, 1674</t>
  </si>
  <si>
    <t>R. Av. Pres. Jhon Kennedy, 727</t>
  </si>
  <si>
    <t>R. Adelfo Pinto, 138</t>
  </si>
  <si>
    <t>R. Av. Integração, 629</t>
  </si>
  <si>
    <t>R. Av Albino Timm Nº 19 Quadra 14</t>
  </si>
  <si>
    <t>R. Edgar Leopoldo Feldmann, 390</t>
  </si>
  <si>
    <t>R. Dr. Hillebrand, 923</t>
  </si>
  <si>
    <t>R. Av. Imperatriz Leopoldina, 3221</t>
  </si>
  <si>
    <t>R. Manoel Vargas, 99</t>
  </si>
  <si>
    <t>R. Av. Tomaz Edison, 1499</t>
  </si>
  <si>
    <t>R. Arno Schuch, 338</t>
  </si>
  <si>
    <t>R. Quinze De Novembro, 318</t>
  </si>
  <si>
    <t>R. Randolfo Guasque, 641</t>
  </si>
  <si>
    <t>R. Av. Oitavo Bc, 560</t>
  </si>
  <si>
    <t>R. Av. Brasil,2044</t>
  </si>
  <si>
    <t>R.Wolfram Metzler, 210</t>
  </si>
  <si>
    <t>R. Marcos Silvano, 50</t>
  </si>
  <si>
    <t>R. Padre Julio, 477</t>
  </si>
  <si>
    <t>R. Cirino Berghann, 431</t>
  </si>
  <si>
    <t>R. Bom Jesus, 563</t>
  </si>
  <si>
    <t>R. São Leopoldo, 319</t>
  </si>
  <si>
    <t>R. Tiradentes, 221</t>
  </si>
  <si>
    <t>R. Santos Dumont, 242</t>
  </si>
  <si>
    <t>R. Souza Lobo, 232</t>
  </si>
  <si>
    <t>R. Gen. Nascimento Vargas, 498</t>
  </si>
  <si>
    <t>R. Jose De Alencar, 702</t>
  </si>
  <si>
    <t>R. Portão, 1170</t>
  </si>
  <si>
    <t>R. Dom Pedro Ii, 18</t>
  </si>
  <si>
    <t>codigo</t>
  </si>
  <si>
    <t>cidSigla</t>
  </si>
  <si>
    <t>Endereco</t>
  </si>
  <si>
    <t>São Leopoldo</t>
  </si>
  <si>
    <t>Campo Bom</t>
  </si>
  <si>
    <t>Sapiranga</t>
  </si>
  <si>
    <t>Estância Velha</t>
  </si>
  <si>
    <t>coordinates/latitude</t>
  </si>
  <si>
    <t>coordinates/longitude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</si>
</sst>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BBB321-1AC5-46E6-9709-0A4149BBA508}" name="Tabela1" displayName="Tabela1" ref="A1:F80" totalsRowShown="0">
  <autoFilter ref="A1:F80" xr:uid="{D0427CA4-1DA6-43E9-8BFA-D3AC3C78324D}"/>
  <tableColumns count="6">
    <tableColumn id="1" xr3:uid="{5E192F1E-F722-44C7-B97B-93FE9684F990}" name="codigo"/>
    <tableColumn id="2" xr3:uid="{3C9BCCEE-0389-4FB1-A17B-30CB570281E0}" name="cidSigla"/>
    <tableColumn id="5" xr3:uid="{389E35A8-487B-4125-B8C8-DAF1DC7BA4D9}" name="Cidade"/>
    <tableColumn id="3" xr3:uid="{0783F1F0-0D6D-4CFD-89AF-74207FFFFEEC}" name="Endereco"/>
    <tableColumn id="8" xr3:uid="{B47A9AC2-91CE-42BC-BB11-131F4E051F0C}" name="coordinates/latitude" dataDxfId="1">
      <calculatedColumnFormula>GetLatitude(CONCATENATE(Tabela1[[#This Row],[Cidade]],", ",Tabela1[[#This Row],[Endereco]]))/10000000</calculatedColumnFormula>
    </tableColumn>
    <tableColumn id="9" xr3:uid="{AEFD4B8B-4356-4037-83B7-3512B885A71D}" name="coordinates/longitude" dataDxfId="0">
      <calculatedColumnFormula>GetLongitude(CONCATENATE(Tabela1[[#This Row],[Cidade]],", ",Tabela1[[#This Row],[Endereco]]))/10000000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62FA3-8230-4907-BAF3-E153D70E297C}">
  <sheetPr codeName="Planilha1"/>
  <dimension ref="A1:F80"/>
  <sheetViews>
    <sheetView tabSelected="1" workbookViewId="0">
      <selection activeCell="F2" sqref="F2"/>
    </sheetView>
  </sheetViews>
  <sheetFormatPr defaultRowHeight="15" x14ac:dyDescent="0.25"/>
  <cols>
    <col min="1" max="1" width="11.42578125" style="1" bestFit="1" customWidth="1"/>
    <col min="2" max="2" width="12.28515625" style="1" bestFit="1" customWidth="1"/>
    <col min="3" max="3" width="15.42578125" style="1" bestFit="1" customWidth="1"/>
    <col min="4" max="4" width="38.5703125" bestFit="1" customWidth="1"/>
    <col min="5" max="5" width="10.5703125" bestFit="1" customWidth="1"/>
    <col min="6" max="6" width="12.140625" bestFit="1" customWidth="1"/>
    <col min="7" max="7" width="10.7109375" bestFit="1" customWidth="1"/>
    <col min="8" max="8" width="44.42578125" bestFit="1" customWidth="1"/>
  </cols>
  <sheetData>
    <row r="1" spans="1:6" x14ac:dyDescent="0.25">
      <c r="A1" s="1" t="s">
        <v>127</v>
      </c>
      <c r="B1" s="1" t="s">
        <v>128</v>
      </c>
      <c r="C1" s="1" t="s">
        <v>47</v>
      </c>
      <c r="D1" t="s">
        <v>129</v>
      </c>
      <c r="E1" t="s">
        <v>134</v>
      </c>
      <c r="F1" t="s">
        <v>135</v>
      </c>
    </row>
    <row r="2" spans="1:6" x14ac:dyDescent="0.25">
      <c r="A2" s="1" t="s">
        <v>0</v>
      </c>
      <c r="B2" s="1" t="s">
        <v>41</v>
      </c>
      <c r="C2" s="1" t="s">
        <v>48</v>
      </c>
      <c r="D2" t="s">
        <v>49</v>
      </c>
      <c r="E2">
        <f>GetLatitude(CONCATENATE(Tabela1[[#This Row],[Cidade]],", ",Tabela1[[#This Row],[Endereco]]))/10000000</f>
        <v>-29.6804159</v>
      </c>
      <c r="F2">
        <f>GetLongitude(CONCATENATE(Tabela1[[#This Row],[Cidade]],", ",Tabela1[[#This Row],[Endereco]]))/10000000</f>
        <v>-51.1331846</v>
      </c>
    </row>
    <row r="3" spans="1:6" x14ac:dyDescent="0.25">
      <c r="A3" s="1" t="s">
        <v>1</v>
      </c>
      <c r="B3" s="1" t="s">
        <v>41</v>
      </c>
      <c r="C3" s="1" t="s">
        <v>48</v>
      </c>
      <c r="D3" t="s">
        <v>50</v>
      </c>
      <c r="E3">
        <f>GetLatitude(CONCATENATE(Tabela1[[#This Row],[Cidade]],", ",Tabela1[[#This Row],[Endereco]]))/10000000</f>
        <v>-29.687856400000001</v>
      </c>
      <c r="F3">
        <f>GetLongitude(CONCATENATE(Tabela1[[#This Row],[Cidade]],", ",Tabela1[[#This Row],[Endereco]]))/10000000</f>
        <v>-51.127556400000003</v>
      </c>
    </row>
    <row r="4" spans="1:6" x14ac:dyDescent="0.25">
      <c r="A4" s="1" t="s">
        <v>2</v>
      </c>
      <c r="B4" s="1" t="s">
        <v>41</v>
      </c>
      <c r="C4" s="1" t="s">
        <v>48</v>
      </c>
      <c r="D4" t="s">
        <v>51</v>
      </c>
      <c r="E4">
        <f>GetLatitude(CONCATENATE(Tabela1[[#This Row],[Cidade]],", ",Tabela1[[#This Row],[Endereco]]))/10000000</f>
        <v>-29.688208800000002</v>
      </c>
      <c r="F4">
        <f>GetLongitude(CONCATENATE(Tabela1[[#This Row],[Cidade]],", ",Tabela1[[#This Row],[Endereco]]))/10000000</f>
        <v>-51.131522400000001</v>
      </c>
    </row>
    <row r="5" spans="1:6" x14ac:dyDescent="0.25">
      <c r="A5" s="1" t="s">
        <v>3</v>
      </c>
      <c r="B5" s="1" t="s">
        <v>41</v>
      </c>
      <c r="C5" s="1" t="s">
        <v>48</v>
      </c>
      <c r="D5" t="s">
        <v>52</v>
      </c>
      <c r="E5">
        <f>GetLatitude(CONCATENATE(Tabela1[[#This Row],[Cidade]],", ",Tabela1[[#This Row],[Endereco]]))/10000000</f>
        <v>-29.685514099999999</v>
      </c>
      <c r="F5">
        <f>GetLongitude(CONCATENATE(Tabela1[[#This Row],[Cidade]],", ",Tabela1[[#This Row],[Endereco]]))/10000000</f>
        <v>-51.127842600000001</v>
      </c>
    </row>
    <row r="6" spans="1:6" x14ac:dyDescent="0.25">
      <c r="A6" s="1" t="s">
        <v>4</v>
      </c>
      <c r="B6" s="1" t="s">
        <v>41</v>
      </c>
      <c r="C6" s="1" t="s">
        <v>48</v>
      </c>
      <c r="D6" t="s">
        <v>53</v>
      </c>
      <c r="E6">
        <f>GetLatitude(CONCATENATE(Tabela1[[#This Row],[Cidade]],", ",Tabela1[[#This Row],[Endereco]]))/10000000</f>
        <v>-29.709395199999999</v>
      </c>
      <c r="F6">
        <f>GetLongitude(CONCATENATE(Tabela1[[#This Row],[Cidade]],", ",Tabela1[[#This Row],[Endereco]]))/10000000</f>
        <v>-51.134360800000003</v>
      </c>
    </row>
    <row r="7" spans="1:6" x14ac:dyDescent="0.25">
      <c r="A7" s="1" t="s">
        <v>6</v>
      </c>
      <c r="B7" s="1" t="s">
        <v>41</v>
      </c>
      <c r="C7" s="1" t="s">
        <v>48</v>
      </c>
      <c r="D7" t="s">
        <v>54</v>
      </c>
      <c r="E7">
        <f>GetLatitude(CONCATENATE(Tabela1[[#This Row],[Cidade]],", ",Tabela1[[#This Row],[Endereco]]))/10000000</f>
        <v>-29.6834785</v>
      </c>
      <c r="F7">
        <f>GetLongitude(CONCATENATE(Tabela1[[#This Row],[Cidade]],", ",Tabela1[[#This Row],[Endereco]]))/10000000</f>
        <v>-51.1268162</v>
      </c>
    </row>
    <row r="8" spans="1:6" x14ac:dyDescent="0.25">
      <c r="A8" s="1" t="s">
        <v>7</v>
      </c>
      <c r="B8" s="1" t="s">
        <v>41</v>
      </c>
      <c r="C8" s="1" t="s">
        <v>48</v>
      </c>
      <c r="D8" t="s">
        <v>55</v>
      </c>
      <c r="E8">
        <f>GetLatitude(CONCATENATE(Tabela1[[#This Row],[Cidade]],", ",Tabela1[[#This Row],[Endereco]]))/10000000</f>
        <v>-29.682375700000001</v>
      </c>
      <c r="F8">
        <f>GetLongitude(CONCATENATE(Tabela1[[#This Row],[Cidade]],", ",Tabela1[[#This Row],[Endereco]]))/10000000</f>
        <v>-51.127436500000002</v>
      </c>
    </row>
    <row r="9" spans="1:6" x14ac:dyDescent="0.25">
      <c r="A9" s="1" t="s">
        <v>8</v>
      </c>
      <c r="B9" s="1" t="s">
        <v>41</v>
      </c>
      <c r="C9" s="1" t="s">
        <v>48</v>
      </c>
      <c r="D9" t="s">
        <v>56</v>
      </c>
      <c r="E9">
        <f>GetLatitude(CONCATENATE(Tabela1[[#This Row],[Cidade]],", ",Tabela1[[#This Row],[Endereco]]))/10000000</f>
        <v>-29.684374699999999</v>
      </c>
      <c r="F9">
        <f>GetLongitude(CONCATENATE(Tabela1[[#This Row],[Cidade]],", ",Tabela1[[#This Row],[Endereco]]))/10000000</f>
        <v>-51.133112400000002</v>
      </c>
    </row>
    <row r="10" spans="1:6" x14ac:dyDescent="0.25">
      <c r="A10" s="1" t="s">
        <v>9</v>
      </c>
      <c r="B10" s="1" t="s">
        <v>41</v>
      </c>
      <c r="C10" s="1" t="s">
        <v>48</v>
      </c>
      <c r="D10" t="s">
        <v>57</v>
      </c>
      <c r="E10">
        <f>GetLatitude(CONCATENATE(Tabela1[[#This Row],[Cidade]],", ",Tabela1[[#This Row],[Endereco]]))/10000000</f>
        <v>-29.680530600000001</v>
      </c>
      <c r="F10">
        <f>GetLongitude(CONCATENATE(Tabela1[[#This Row],[Cidade]],", ",Tabela1[[#This Row],[Endereco]]))/10000000</f>
        <v>-51.126983199999998</v>
      </c>
    </row>
    <row r="11" spans="1:6" x14ac:dyDescent="0.25">
      <c r="A11" s="1" t="s">
        <v>10</v>
      </c>
      <c r="B11" s="1" t="s">
        <v>41</v>
      </c>
      <c r="C11" s="1" t="s">
        <v>48</v>
      </c>
      <c r="D11" t="s">
        <v>58</v>
      </c>
      <c r="E11">
        <f>GetLatitude(CONCATENATE(Tabela1[[#This Row],[Cidade]],", ",Tabela1[[#This Row],[Endereco]]))/10000000</f>
        <v>-29.6958144</v>
      </c>
      <c r="F11">
        <f>GetLongitude(CONCATENATE(Tabela1[[#This Row],[Cidade]],", ",Tabela1[[#This Row],[Endereco]]))/10000000</f>
        <v>-51.126781299999998</v>
      </c>
    </row>
    <row r="12" spans="1:6" x14ac:dyDescent="0.25">
      <c r="A12" s="1" t="s">
        <v>11</v>
      </c>
      <c r="B12" s="1" t="s">
        <v>41</v>
      </c>
      <c r="C12" s="1" t="s">
        <v>48</v>
      </c>
      <c r="D12" t="s">
        <v>59</v>
      </c>
      <c r="E12">
        <f>GetLatitude(CONCATENATE(Tabela1[[#This Row],[Cidade]],", ",Tabela1[[#This Row],[Endereco]]))/10000000</f>
        <v>-29.695184300000001</v>
      </c>
      <c r="F12">
        <f>GetLongitude(CONCATENATE(Tabela1[[#This Row],[Cidade]],", ",Tabela1[[#This Row],[Endereco]]))/10000000</f>
        <v>-51.126745</v>
      </c>
    </row>
    <row r="13" spans="1:6" x14ac:dyDescent="0.25">
      <c r="A13" s="1" t="s">
        <v>12</v>
      </c>
      <c r="B13" s="1" t="s">
        <v>41</v>
      </c>
      <c r="C13" s="1" t="s">
        <v>48</v>
      </c>
      <c r="D13" t="s">
        <v>60</v>
      </c>
      <c r="E13">
        <f>GetLatitude(CONCATENATE(Tabela1[[#This Row],[Cidade]],", ",Tabela1[[#This Row],[Endereco]]))/10000000</f>
        <v>-29.700809</v>
      </c>
      <c r="F13">
        <f>GetLongitude(CONCATENATE(Tabela1[[#This Row],[Cidade]],", ",Tabela1[[#This Row],[Endereco]]))/10000000</f>
        <v>-51.127003299999998</v>
      </c>
    </row>
    <row r="14" spans="1:6" x14ac:dyDescent="0.25">
      <c r="A14" s="1" t="s">
        <v>14</v>
      </c>
      <c r="B14" s="1" t="s">
        <v>41</v>
      </c>
      <c r="C14" s="1" t="s">
        <v>48</v>
      </c>
      <c r="D14" t="s">
        <v>61</v>
      </c>
      <c r="E14">
        <f>GetLatitude(CONCATENATE(Tabela1[[#This Row],[Cidade]],", ",Tabela1[[#This Row],[Endereco]]))/10000000</f>
        <v>-29.688047900000001</v>
      </c>
      <c r="F14">
        <f>GetLongitude(CONCATENATE(Tabela1[[#This Row],[Cidade]],", ",Tabela1[[#This Row],[Endereco]]))/10000000</f>
        <v>-51.133337599999997</v>
      </c>
    </row>
    <row r="15" spans="1:6" x14ac:dyDescent="0.25">
      <c r="A15" s="1" t="s">
        <v>15</v>
      </c>
      <c r="B15" s="1" t="s">
        <v>41</v>
      </c>
      <c r="C15" s="1" t="s">
        <v>48</v>
      </c>
      <c r="D15" t="s">
        <v>62</v>
      </c>
      <c r="E15">
        <f>GetLatitude(CONCATENATE(Tabela1[[#This Row],[Cidade]],", ",Tabela1[[#This Row],[Endereco]]))/10000000</f>
        <v>-29.708257</v>
      </c>
      <c r="F15">
        <f>GetLongitude(CONCATENATE(Tabela1[[#This Row],[Cidade]],", ",Tabela1[[#This Row],[Endereco]]))/10000000</f>
        <v>-51.131323000000002</v>
      </c>
    </row>
    <row r="16" spans="1:6" x14ac:dyDescent="0.25">
      <c r="A16" s="1" t="s">
        <v>16</v>
      </c>
      <c r="B16" s="1" t="s">
        <v>41</v>
      </c>
      <c r="C16" s="1" t="s">
        <v>48</v>
      </c>
      <c r="D16" t="s">
        <v>63</v>
      </c>
      <c r="E16">
        <f>GetLatitude(CONCATENATE(Tabela1[[#This Row],[Cidade]],", ",Tabela1[[#This Row],[Endereco]]))/10000000</f>
        <v>-29.674140999999999</v>
      </c>
      <c r="F16">
        <f>GetLongitude(CONCATENATE(Tabela1[[#This Row],[Cidade]],", ",Tabela1[[#This Row],[Endereco]]))/10000000</f>
        <v>-51.116104</v>
      </c>
    </row>
    <row r="17" spans="1:6" x14ac:dyDescent="0.25">
      <c r="A17" s="1" t="s">
        <v>17</v>
      </c>
      <c r="B17" s="1" t="s">
        <v>41</v>
      </c>
      <c r="C17" s="1" t="s">
        <v>48</v>
      </c>
      <c r="D17" t="s">
        <v>64</v>
      </c>
      <c r="E17">
        <f>GetLatitude(CONCATENATE(Tabela1[[#This Row],[Cidade]],", ",Tabela1[[#This Row],[Endereco]]))/10000000</f>
        <v>-29.718961</v>
      </c>
      <c r="F17">
        <f>GetLongitude(CONCATENATE(Tabela1[[#This Row],[Cidade]],", ",Tabela1[[#This Row],[Endereco]]))/10000000</f>
        <v>-51.138868000000002</v>
      </c>
    </row>
    <row r="18" spans="1:6" x14ac:dyDescent="0.25">
      <c r="A18" s="1" t="s">
        <v>18</v>
      </c>
      <c r="B18" s="1" t="s">
        <v>41</v>
      </c>
      <c r="C18" s="1" t="s">
        <v>48</v>
      </c>
      <c r="D18" t="s">
        <v>65</v>
      </c>
      <c r="E18">
        <f>GetLatitude(CONCATENATE(Tabela1[[#This Row],[Cidade]],", ",Tabela1[[#This Row],[Endereco]]))/10000000</f>
        <v>-29.6759661</v>
      </c>
      <c r="F18">
        <f>GetLongitude(CONCATENATE(Tabela1[[#This Row],[Cidade]],", ",Tabela1[[#This Row],[Endereco]]))/10000000</f>
        <v>-51.098123800000003</v>
      </c>
    </row>
    <row r="19" spans="1:6" x14ac:dyDescent="0.25">
      <c r="A19" s="1" t="s">
        <v>19</v>
      </c>
      <c r="B19" s="1" t="s">
        <v>41</v>
      </c>
      <c r="C19" s="1" t="s">
        <v>48</v>
      </c>
      <c r="D19" t="s">
        <v>66</v>
      </c>
      <c r="E19">
        <f>GetLatitude(CONCATENATE(Tabela1[[#This Row],[Cidade]],", ",Tabela1[[#This Row],[Endereco]]))/10000000</f>
        <v>-29.672785699999999</v>
      </c>
      <c r="F19">
        <f>GetLongitude(CONCATENATE(Tabela1[[#This Row],[Cidade]],", ",Tabela1[[#This Row],[Endereco]]))/10000000</f>
        <v>-51.126275300000003</v>
      </c>
    </row>
    <row r="20" spans="1:6" x14ac:dyDescent="0.25">
      <c r="A20" s="1" t="s">
        <v>20</v>
      </c>
      <c r="B20" s="1" t="s">
        <v>41</v>
      </c>
      <c r="C20" s="1" t="s">
        <v>48</v>
      </c>
      <c r="D20" t="s">
        <v>67</v>
      </c>
      <c r="E20">
        <f>GetLatitude(CONCATENATE(Tabela1[[#This Row],[Cidade]],", ",Tabela1[[#This Row],[Endereco]]))/10000000</f>
        <v>-29.6920772</v>
      </c>
      <c r="F20">
        <f>GetLongitude(CONCATENATE(Tabela1[[#This Row],[Cidade]],", ",Tabela1[[#This Row],[Endereco]]))/10000000</f>
        <v>-51.119570799999998</v>
      </c>
    </row>
    <row r="21" spans="1:6" x14ac:dyDescent="0.25">
      <c r="A21" s="1" t="s">
        <v>21</v>
      </c>
      <c r="B21" s="1" t="s">
        <v>41</v>
      </c>
      <c r="C21" s="1" t="s">
        <v>48</v>
      </c>
      <c r="D21" t="s">
        <v>68</v>
      </c>
      <c r="E21">
        <f>GetLatitude(CONCATENATE(Tabela1[[#This Row],[Cidade]],", ",Tabela1[[#This Row],[Endereco]]))/10000000</f>
        <v>-29.676043799999999</v>
      </c>
      <c r="F21">
        <f>GetLongitude(CONCATENATE(Tabela1[[#This Row],[Cidade]],", ",Tabela1[[#This Row],[Endereco]]))/10000000</f>
        <v>-51.149079100000002</v>
      </c>
    </row>
    <row r="22" spans="1:6" x14ac:dyDescent="0.25">
      <c r="A22" s="1" t="s">
        <v>22</v>
      </c>
      <c r="B22" s="1" t="s">
        <v>41</v>
      </c>
      <c r="C22" s="1" t="s">
        <v>48</v>
      </c>
      <c r="D22" t="s">
        <v>69</v>
      </c>
      <c r="E22">
        <f>GetLatitude(CONCATENATE(Tabela1[[#This Row],[Cidade]],", ",Tabela1[[#This Row],[Endereco]]))/10000000</f>
        <v>-29.721141899999999</v>
      </c>
      <c r="F22">
        <f>GetLongitude(CONCATENATE(Tabela1[[#This Row],[Cidade]],", ",Tabela1[[#This Row],[Endereco]]))/10000000</f>
        <v>-51.121129699999997</v>
      </c>
    </row>
    <row r="23" spans="1:6" x14ac:dyDescent="0.25">
      <c r="A23" s="1" t="s">
        <v>23</v>
      </c>
      <c r="B23" s="1" t="s">
        <v>41</v>
      </c>
      <c r="C23" s="1" t="s">
        <v>48</v>
      </c>
      <c r="D23" t="s">
        <v>70</v>
      </c>
      <c r="E23">
        <f>GetLatitude(CONCATENATE(Tabela1[[#This Row],[Cidade]],", ",Tabela1[[#This Row],[Endereco]]))/10000000</f>
        <v>-29.729088999999998</v>
      </c>
      <c r="F23">
        <f>GetLongitude(CONCATENATE(Tabela1[[#This Row],[Cidade]],", ",Tabela1[[#This Row],[Endereco]]))/10000000</f>
        <v>-51.133945900000001</v>
      </c>
    </row>
    <row r="24" spans="1:6" x14ac:dyDescent="0.25">
      <c r="A24" s="1" t="s">
        <v>24</v>
      </c>
      <c r="B24" s="1" t="s">
        <v>41</v>
      </c>
      <c r="C24" s="1" t="s">
        <v>48</v>
      </c>
      <c r="D24" t="s">
        <v>71</v>
      </c>
      <c r="E24">
        <f>GetLatitude(CONCATENATE(Tabela1[[#This Row],[Cidade]],", ",Tabela1[[#This Row],[Endereco]]))/10000000</f>
        <v>-29.685233</v>
      </c>
      <c r="F24">
        <f>GetLongitude(CONCATENATE(Tabela1[[#This Row],[Cidade]],", ",Tabela1[[#This Row],[Endereco]]))/10000000</f>
        <v>-51.103282999999998</v>
      </c>
    </row>
    <row r="25" spans="1:6" x14ac:dyDescent="0.25">
      <c r="A25" s="1" t="s">
        <v>25</v>
      </c>
      <c r="B25" s="1" t="s">
        <v>41</v>
      </c>
      <c r="C25" s="1" t="s">
        <v>48</v>
      </c>
      <c r="D25" t="s">
        <v>72</v>
      </c>
      <c r="E25">
        <f>GetLatitude(CONCATENATE(Tabela1[[#This Row],[Cidade]],", ",Tabela1[[#This Row],[Endereco]]))/10000000</f>
        <v>-29.6859021</v>
      </c>
      <c r="F25">
        <f>GetLongitude(CONCATENATE(Tabela1[[#This Row],[Cidade]],", ",Tabela1[[#This Row],[Endereco]]))/10000000</f>
        <v>-51.094038699999999</v>
      </c>
    </row>
    <row r="26" spans="1:6" x14ac:dyDescent="0.25">
      <c r="A26" s="1" t="s">
        <v>26</v>
      </c>
      <c r="B26" s="1" t="s">
        <v>41</v>
      </c>
      <c r="C26" s="1" t="s">
        <v>48</v>
      </c>
      <c r="D26" t="s">
        <v>73</v>
      </c>
      <c r="E26">
        <f>GetLatitude(CONCATENATE(Tabela1[[#This Row],[Cidade]],", ",Tabela1[[#This Row],[Endereco]]))/10000000</f>
        <v>-29.694075900000001</v>
      </c>
      <c r="F26">
        <f>GetLongitude(CONCATENATE(Tabela1[[#This Row],[Cidade]],", ",Tabela1[[#This Row],[Endereco]]))/10000000</f>
        <v>-51.101353500000002</v>
      </c>
    </row>
    <row r="27" spans="1:6" x14ac:dyDescent="0.25">
      <c r="A27" s="1" t="s">
        <v>27</v>
      </c>
      <c r="B27" s="1" t="s">
        <v>41</v>
      </c>
      <c r="C27" s="1" t="s">
        <v>48</v>
      </c>
      <c r="D27" t="s">
        <v>74</v>
      </c>
      <c r="E27">
        <f>GetLatitude(CONCATENATE(Tabela1[[#This Row],[Cidade]],", ",Tabela1[[#This Row],[Endereco]]))/10000000</f>
        <v>-29.697293999999999</v>
      </c>
      <c r="F27">
        <f>GetLongitude(CONCATENATE(Tabela1[[#This Row],[Cidade]],", ",Tabela1[[#This Row],[Endereco]]))/10000000</f>
        <v>-51.087671999999998</v>
      </c>
    </row>
    <row r="28" spans="1:6" x14ac:dyDescent="0.25">
      <c r="A28" s="1" t="s">
        <v>28</v>
      </c>
      <c r="B28" s="1" t="s">
        <v>41</v>
      </c>
      <c r="C28" s="1" t="s">
        <v>48</v>
      </c>
      <c r="D28" t="s">
        <v>75</v>
      </c>
      <c r="E28">
        <f>GetLatitude(CONCATENATE(Tabela1[[#This Row],[Cidade]],", ",Tabela1[[#This Row],[Endereco]]))/10000000</f>
        <v>-29.699912900000001</v>
      </c>
      <c r="F28">
        <f>GetLongitude(CONCATENATE(Tabela1[[#This Row],[Cidade]],", ",Tabela1[[#This Row],[Endereco]]))/10000000</f>
        <v>-51.0937755</v>
      </c>
    </row>
    <row r="29" spans="1:6" x14ac:dyDescent="0.25">
      <c r="A29" s="1" t="s">
        <v>29</v>
      </c>
      <c r="B29" s="1" t="s">
        <v>41</v>
      </c>
      <c r="C29" s="1" t="s">
        <v>48</v>
      </c>
      <c r="D29" t="s">
        <v>76</v>
      </c>
      <c r="E29">
        <f>GetLatitude(CONCATENATE(Tabela1[[#This Row],[Cidade]],", ",Tabela1[[#This Row],[Endereco]]))/10000000</f>
        <v>-29.674225</v>
      </c>
      <c r="F29">
        <f>GetLongitude(CONCATENATE(Tabela1[[#This Row],[Cidade]],", ",Tabela1[[#This Row],[Endereco]]))/10000000</f>
        <v>-51.162699000000003</v>
      </c>
    </row>
    <row r="30" spans="1:6" x14ac:dyDescent="0.25">
      <c r="A30" s="1" t="s">
        <v>30</v>
      </c>
      <c r="B30" s="1" t="s">
        <v>41</v>
      </c>
      <c r="C30" s="1" t="s">
        <v>48</v>
      </c>
      <c r="D30" t="s">
        <v>77</v>
      </c>
      <c r="E30">
        <f>GetLatitude(CONCATENATE(Tabela1[[#This Row],[Cidade]],", ",Tabela1[[#This Row],[Endereco]]))/10000000</f>
        <v>-29.681308600000001</v>
      </c>
      <c r="F30">
        <f>GetLongitude(CONCATENATE(Tabela1[[#This Row],[Cidade]],", ",Tabela1[[#This Row],[Endereco]]))/10000000</f>
        <v>-51.171292399999999</v>
      </c>
    </row>
    <row r="31" spans="1:6" x14ac:dyDescent="0.25">
      <c r="A31" s="1" t="s">
        <v>31</v>
      </c>
      <c r="B31" s="1" t="s">
        <v>41</v>
      </c>
      <c r="C31" s="1" t="s">
        <v>48</v>
      </c>
      <c r="D31" t="s">
        <v>78</v>
      </c>
      <c r="E31">
        <f>GetLatitude(CONCATENATE(Tabela1[[#This Row],[Cidade]],", ",Tabela1[[#This Row],[Endereco]]))/10000000</f>
        <v>-29.668987000000001</v>
      </c>
      <c r="F31">
        <f>GetLongitude(CONCATENATE(Tabela1[[#This Row],[Cidade]],", ",Tabela1[[#This Row],[Endereco]]))/10000000</f>
        <v>-51.096713299999998</v>
      </c>
    </row>
    <row r="32" spans="1:6" x14ac:dyDescent="0.25">
      <c r="A32" s="1" t="s">
        <v>32</v>
      </c>
      <c r="B32" s="1" t="s">
        <v>41</v>
      </c>
      <c r="C32" s="1" t="s">
        <v>48</v>
      </c>
      <c r="D32" t="s">
        <v>79</v>
      </c>
      <c r="E32">
        <f>GetLatitude(CONCATENATE(Tabela1[[#This Row],[Cidade]],", ",Tabela1[[#This Row],[Endereco]]))/10000000</f>
        <v>-29.664675800000001</v>
      </c>
      <c r="F32">
        <f>GetLongitude(CONCATENATE(Tabela1[[#This Row],[Cidade]],", ",Tabela1[[#This Row],[Endereco]]))/10000000</f>
        <v>-51.106343600000002</v>
      </c>
    </row>
    <row r="33" spans="1:6" x14ac:dyDescent="0.25">
      <c r="A33" s="1" t="s">
        <v>33</v>
      </c>
      <c r="B33" s="1" t="s">
        <v>41</v>
      </c>
      <c r="C33" s="1" t="s">
        <v>48</v>
      </c>
      <c r="D33" t="s">
        <v>80</v>
      </c>
      <c r="E33">
        <f>GetLatitude(CONCATENATE(Tabela1[[#This Row],[Cidade]],", ",Tabela1[[#This Row],[Endereco]]))/10000000</f>
        <v>-29.653400000000001</v>
      </c>
      <c r="F33">
        <f>GetLongitude(CONCATENATE(Tabela1[[#This Row],[Cidade]],", ",Tabela1[[#This Row],[Endereco]]))/10000000</f>
        <v>-51.102800000000002</v>
      </c>
    </row>
    <row r="34" spans="1:6" x14ac:dyDescent="0.25">
      <c r="A34" s="1" t="s">
        <v>34</v>
      </c>
      <c r="B34" s="1" t="s">
        <v>41</v>
      </c>
      <c r="C34" s="1" t="s">
        <v>48</v>
      </c>
      <c r="D34" t="s">
        <v>81</v>
      </c>
      <c r="E34">
        <f>GetLatitude(CONCATENATE(Tabela1[[#This Row],[Cidade]],", ",Tabela1[[#This Row],[Endereco]]))/10000000</f>
        <v>-29.6980416</v>
      </c>
      <c r="F34">
        <f>GetLongitude(CONCATENATE(Tabela1[[#This Row],[Cidade]],", ",Tabela1[[#This Row],[Endereco]]))/10000000</f>
        <v>-51.138888899999998</v>
      </c>
    </row>
    <row r="35" spans="1:6" x14ac:dyDescent="0.25">
      <c r="A35" s="1" t="s">
        <v>35</v>
      </c>
      <c r="B35" s="1" t="s">
        <v>41</v>
      </c>
      <c r="C35" s="1" t="s">
        <v>48</v>
      </c>
      <c r="D35" t="s">
        <v>82</v>
      </c>
      <c r="E35">
        <f>GetLatitude(CONCATENATE(Tabela1[[#This Row],[Cidade]],", ",Tabela1[[#This Row],[Endereco]]))/10000000</f>
        <v>-29.687764999999999</v>
      </c>
      <c r="F35">
        <f>GetLongitude(CONCATENATE(Tabela1[[#This Row],[Cidade]],", ",Tabela1[[#This Row],[Endereco]]))/10000000</f>
        <v>-51.147897</v>
      </c>
    </row>
    <row r="36" spans="1:6" x14ac:dyDescent="0.25">
      <c r="A36" s="1" t="s">
        <v>36</v>
      </c>
      <c r="B36" s="1" t="s">
        <v>41</v>
      </c>
      <c r="C36" s="1" t="s">
        <v>48</v>
      </c>
      <c r="D36" t="s">
        <v>83</v>
      </c>
      <c r="E36">
        <f>GetLatitude(CONCATENATE(Tabela1[[#This Row],[Cidade]],", ",Tabela1[[#This Row],[Endereco]]))/10000000</f>
        <v>-29.671035799999999</v>
      </c>
      <c r="F36">
        <f>GetLongitude(CONCATENATE(Tabela1[[#This Row],[Cidade]],", ",Tabela1[[#This Row],[Endereco]]))/10000000</f>
        <v>-51.137101000000001</v>
      </c>
    </row>
    <row r="37" spans="1:6" x14ac:dyDescent="0.25">
      <c r="A37" s="1" t="s">
        <v>37</v>
      </c>
      <c r="B37" s="1" t="s">
        <v>41</v>
      </c>
      <c r="C37" s="1" t="s">
        <v>48</v>
      </c>
      <c r="D37" t="s">
        <v>84</v>
      </c>
      <c r="E37">
        <f>GetLatitude(CONCATENATE(Tabela1[[#This Row],[Cidade]],", ",Tabela1[[#This Row],[Endereco]]))/10000000</f>
        <v>-29.677565699999999</v>
      </c>
      <c r="F37">
        <f>GetLongitude(CONCATENATE(Tabela1[[#This Row],[Cidade]],", ",Tabela1[[#This Row],[Endereco]]))/10000000</f>
        <v>-51.157747899999997</v>
      </c>
    </row>
    <row r="38" spans="1:6" x14ac:dyDescent="0.25">
      <c r="A38" s="1" t="s">
        <v>38</v>
      </c>
      <c r="B38" s="1" t="s">
        <v>41</v>
      </c>
      <c r="C38" s="1" t="s">
        <v>48</v>
      </c>
      <c r="D38" t="s">
        <v>85</v>
      </c>
      <c r="E38">
        <f>GetLatitude(CONCATENATE(Tabela1[[#This Row],[Cidade]],", ",Tabela1[[#This Row],[Endereco]]))/10000000</f>
        <v>-29.685950299999998</v>
      </c>
      <c r="F38">
        <f>GetLongitude(CONCATENATE(Tabela1[[#This Row],[Cidade]],", ",Tabela1[[#This Row],[Endereco]]))/10000000</f>
        <v>-51.102784399999997</v>
      </c>
    </row>
    <row r="39" spans="1:6" x14ac:dyDescent="0.25">
      <c r="A39" s="1" t="s">
        <v>39</v>
      </c>
      <c r="B39" s="1" t="s">
        <v>41</v>
      </c>
      <c r="C39" s="1" t="s">
        <v>48</v>
      </c>
      <c r="D39" t="s">
        <v>86</v>
      </c>
      <c r="E39">
        <f>GetLatitude(CONCATENATE(Tabela1[[#This Row],[Cidade]],", ",Tabela1[[#This Row],[Endereco]]))/10000000</f>
        <v>-29.708936699999999</v>
      </c>
      <c r="F39">
        <f>GetLongitude(CONCATENATE(Tabela1[[#This Row],[Cidade]],", ",Tabela1[[#This Row],[Endereco]]))/10000000</f>
        <v>-51.124455400000002</v>
      </c>
    </row>
    <row r="40" spans="1:6" x14ac:dyDescent="0.25">
      <c r="A40" s="1" t="s">
        <v>40</v>
      </c>
      <c r="B40" s="1" t="s">
        <v>41</v>
      </c>
      <c r="C40" s="1" t="s">
        <v>48</v>
      </c>
      <c r="D40" t="s">
        <v>87</v>
      </c>
      <c r="E40">
        <f>GetLatitude(CONCATENATE(Tabela1[[#This Row],[Cidade]],", ",Tabela1[[#This Row],[Endereco]]))/10000000</f>
        <v>-29.6826379</v>
      </c>
      <c r="F40">
        <f>GetLongitude(CONCATENATE(Tabela1[[#This Row],[Cidade]],", ",Tabela1[[#This Row],[Endereco]]))/10000000</f>
        <v>-51.120238700000002</v>
      </c>
    </row>
    <row r="41" spans="1:6" x14ac:dyDescent="0.25">
      <c r="A41" s="1" t="s">
        <v>40</v>
      </c>
      <c r="B41" s="1" t="s">
        <v>42</v>
      </c>
      <c r="C41" t="s">
        <v>130</v>
      </c>
      <c r="D41" t="s">
        <v>88</v>
      </c>
      <c r="E41">
        <f>GetLatitude(CONCATENATE(Tabela1[[#This Row],[Cidade]],", ",Tabela1[[#This Row],[Endereco]]))/10000000</f>
        <v>-29.7620313</v>
      </c>
      <c r="F41">
        <f>GetLongitude(CONCATENATE(Tabela1[[#This Row],[Cidade]],", ",Tabela1[[#This Row],[Endereco]]))/10000000</f>
        <v>-51.1457841</v>
      </c>
    </row>
    <row r="42" spans="1:6" x14ac:dyDescent="0.25">
      <c r="A42" s="1" t="s">
        <v>0</v>
      </c>
      <c r="B42" s="1" t="s">
        <v>42</v>
      </c>
      <c r="C42" t="s">
        <v>130</v>
      </c>
      <c r="D42" t="s">
        <v>89</v>
      </c>
      <c r="E42">
        <f>GetLatitude(CONCATENATE(Tabela1[[#This Row],[Cidade]],", ",Tabela1[[#This Row],[Endereco]]))/10000000</f>
        <v>-29.7670806</v>
      </c>
      <c r="F42">
        <f>GetLongitude(CONCATENATE(Tabela1[[#This Row],[Cidade]],", ",Tabela1[[#This Row],[Endereco]]))/10000000</f>
        <v>-51.146605800000003</v>
      </c>
    </row>
    <row r="43" spans="1:6" x14ac:dyDescent="0.25">
      <c r="A43" s="1" t="s">
        <v>1</v>
      </c>
      <c r="B43" s="1" t="s">
        <v>42</v>
      </c>
      <c r="C43" t="s">
        <v>130</v>
      </c>
      <c r="D43" t="s">
        <v>90</v>
      </c>
      <c r="E43">
        <f>GetLatitude(CONCATENATE(Tabela1[[#This Row],[Cidade]],", ",Tabela1[[#This Row],[Endereco]]))/10000000</f>
        <v>-29.765583100000001</v>
      </c>
      <c r="F43">
        <f>GetLongitude(CONCATENATE(Tabela1[[#This Row],[Cidade]],", ",Tabela1[[#This Row],[Endereco]]))/10000000</f>
        <v>-51.147988499999997</v>
      </c>
    </row>
    <row r="44" spans="1:6" x14ac:dyDescent="0.25">
      <c r="A44" s="1" t="s">
        <v>2</v>
      </c>
      <c r="B44" s="1" t="s">
        <v>42</v>
      </c>
      <c r="C44" t="s">
        <v>130</v>
      </c>
      <c r="D44" t="s">
        <v>91</v>
      </c>
      <c r="E44">
        <f>GetLatitude(CONCATENATE(Tabela1[[#This Row],[Cidade]],", ",Tabela1[[#This Row],[Endereco]]))/10000000</f>
        <v>-29.767425599999999</v>
      </c>
      <c r="F44">
        <f>GetLongitude(CONCATENATE(Tabela1[[#This Row],[Cidade]],", ",Tabela1[[#This Row],[Endereco]]))/10000000</f>
        <v>-51.147251099999998</v>
      </c>
    </row>
    <row r="45" spans="1:6" x14ac:dyDescent="0.25">
      <c r="A45" s="1" t="s">
        <v>3</v>
      </c>
      <c r="B45" s="1" t="s">
        <v>42</v>
      </c>
      <c r="C45" t="s">
        <v>130</v>
      </c>
      <c r="D45" t="s">
        <v>92</v>
      </c>
      <c r="E45">
        <f>GetLatitude(CONCATENATE(Tabela1[[#This Row],[Cidade]],", ",Tabela1[[#This Row],[Endereco]]))/10000000</f>
        <v>-29.769745700000001</v>
      </c>
      <c r="F45">
        <f>GetLongitude(CONCATENATE(Tabela1[[#This Row],[Cidade]],", ",Tabela1[[#This Row],[Endereco]]))/10000000</f>
        <v>-51.135356700000003</v>
      </c>
    </row>
    <row r="46" spans="1:6" x14ac:dyDescent="0.25">
      <c r="A46" s="1" t="s">
        <v>4</v>
      </c>
      <c r="B46" s="1" t="s">
        <v>42</v>
      </c>
      <c r="C46" t="s">
        <v>130</v>
      </c>
      <c r="D46" t="s">
        <v>93</v>
      </c>
      <c r="E46">
        <f>GetLatitude(CONCATENATE(Tabela1[[#This Row],[Cidade]],", ",Tabela1[[#This Row],[Endereco]]))/10000000</f>
        <v>-29.766920500000001</v>
      </c>
      <c r="F46">
        <f>GetLongitude(CONCATENATE(Tabela1[[#This Row],[Cidade]],", ",Tabela1[[#This Row],[Endereco]]))/10000000</f>
        <v>-51.152627899999999</v>
      </c>
    </row>
    <row r="47" spans="1:6" x14ac:dyDescent="0.25">
      <c r="A47" s="1" t="s">
        <v>5</v>
      </c>
      <c r="B47" s="1" t="s">
        <v>42</v>
      </c>
      <c r="C47" t="s">
        <v>130</v>
      </c>
      <c r="D47" t="s">
        <v>94</v>
      </c>
      <c r="E47">
        <f>GetLatitude(CONCATENATE(Tabela1[[#This Row],[Cidade]],", ",Tabela1[[#This Row],[Endereco]]))/10000000</f>
        <v>-29.773492300000001</v>
      </c>
      <c r="F47">
        <f>GetLongitude(CONCATENATE(Tabela1[[#This Row],[Cidade]],", ",Tabela1[[#This Row],[Endereco]]))/10000000</f>
        <v>-51.147919600000002</v>
      </c>
    </row>
    <row r="48" spans="1:6" x14ac:dyDescent="0.25">
      <c r="A48" s="1" t="s">
        <v>6</v>
      </c>
      <c r="B48" s="1" t="s">
        <v>42</v>
      </c>
      <c r="C48" t="s">
        <v>130</v>
      </c>
      <c r="D48" t="s">
        <v>95</v>
      </c>
      <c r="E48">
        <f>GetLatitude(CONCATENATE(Tabela1[[#This Row],[Cidade]],", ",Tabela1[[#This Row],[Endereco]]))/10000000</f>
        <v>-29.764917400000002</v>
      </c>
      <c r="F48">
        <f>GetLongitude(CONCATENATE(Tabela1[[#This Row],[Cidade]],", ",Tabela1[[#This Row],[Endereco]]))/10000000</f>
        <v>-51.141425099999999</v>
      </c>
    </row>
    <row r="49" spans="1:6" x14ac:dyDescent="0.25">
      <c r="A49" s="1" t="s">
        <v>7</v>
      </c>
      <c r="B49" s="1" t="s">
        <v>42</v>
      </c>
      <c r="C49" t="s">
        <v>130</v>
      </c>
      <c r="D49" t="s">
        <v>96</v>
      </c>
      <c r="E49">
        <f>GetLatitude(CONCATENATE(Tabela1[[#This Row],[Cidade]],", ",Tabela1[[#This Row],[Endereco]]))/10000000</f>
        <v>-29.776592000000001</v>
      </c>
      <c r="F49">
        <f>GetLongitude(CONCATENATE(Tabela1[[#This Row],[Cidade]],", ",Tabela1[[#This Row],[Endereco]]))/10000000</f>
        <v>-51.128708000000003</v>
      </c>
    </row>
    <row r="50" spans="1:6" x14ac:dyDescent="0.25">
      <c r="A50" s="1" t="s">
        <v>8</v>
      </c>
      <c r="B50" s="1" t="s">
        <v>42</v>
      </c>
      <c r="C50" t="s">
        <v>130</v>
      </c>
      <c r="D50" t="s">
        <v>97</v>
      </c>
      <c r="E50">
        <f>GetLatitude(CONCATENATE(Tabela1[[#This Row],[Cidade]],", ",Tabela1[[#This Row],[Endereco]]))/10000000</f>
        <v>-29.731119</v>
      </c>
      <c r="F50">
        <f>GetLongitude(CONCATENATE(Tabela1[[#This Row],[Cidade]],", ",Tabela1[[#This Row],[Endereco]]))/10000000</f>
        <v>-51.154744000000001</v>
      </c>
    </row>
    <row r="51" spans="1:6" x14ac:dyDescent="0.25">
      <c r="A51" s="1" t="s">
        <v>9</v>
      </c>
      <c r="B51" s="1" t="s">
        <v>42</v>
      </c>
      <c r="C51" t="s">
        <v>130</v>
      </c>
      <c r="D51" t="s">
        <v>98</v>
      </c>
      <c r="E51">
        <f>GetLatitude(CONCATENATE(Tabela1[[#This Row],[Cidade]],", ",Tabela1[[#This Row],[Endereco]]))/10000000</f>
        <v>-29.791463199999999</v>
      </c>
      <c r="F51">
        <f>GetLongitude(CONCATENATE(Tabela1[[#This Row],[Cidade]],", ",Tabela1[[#This Row],[Endereco]]))/10000000</f>
        <v>-51.149979700000003</v>
      </c>
    </row>
    <row r="52" spans="1:6" x14ac:dyDescent="0.25">
      <c r="A52" s="1" t="s">
        <v>10</v>
      </c>
      <c r="B52" s="1" t="s">
        <v>42</v>
      </c>
      <c r="C52" t="s">
        <v>130</v>
      </c>
      <c r="D52" t="s">
        <v>99</v>
      </c>
      <c r="E52">
        <f>GetLatitude(CONCATENATE(Tabela1[[#This Row],[Cidade]],", ",Tabela1[[#This Row],[Endereco]]))/10000000</f>
        <v>-29.766438900000001</v>
      </c>
      <c r="F52">
        <f>GetLongitude(CONCATENATE(Tabela1[[#This Row],[Cidade]],", ",Tabela1[[#This Row],[Endereco]]))/10000000</f>
        <v>-51.119896099999998</v>
      </c>
    </row>
    <row r="53" spans="1:6" x14ac:dyDescent="0.25">
      <c r="A53" s="1" t="s">
        <v>11</v>
      </c>
      <c r="B53" s="1" t="s">
        <v>42</v>
      </c>
      <c r="C53" t="s">
        <v>130</v>
      </c>
      <c r="D53" t="s">
        <v>100</v>
      </c>
      <c r="E53">
        <f>GetLatitude(CONCATENATE(Tabela1[[#This Row],[Cidade]],", ",Tabela1[[#This Row],[Endereco]]))/10000000</f>
        <v>-29.754994100000001</v>
      </c>
      <c r="F53">
        <f>GetLongitude(CONCATENATE(Tabela1[[#This Row],[Cidade]],", ",Tabela1[[#This Row],[Endereco]]))/10000000</f>
        <v>-51.150283000000002</v>
      </c>
    </row>
    <row r="54" spans="1:6" x14ac:dyDescent="0.25">
      <c r="A54" s="1" t="s">
        <v>12</v>
      </c>
      <c r="B54" s="1" t="s">
        <v>42</v>
      </c>
      <c r="C54" t="s">
        <v>130</v>
      </c>
      <c r="D54" t="s">
        <v>101</v>
      </c>
      <c r="E54">
        <f>GetLatitude(CONCATENATE(Tabela1[[#This Row],[Cidade]],", ",Tabela1[[#This Row],[Endereco]]))/10000000</f>
        <v>-29.7540263</v>
      </c>
      <c r="F54">
        <f>GetLongitude(CONCATENATE(Tabela1[[#This Row],[Cidade]],", ",Tabela1[[#This Row],[Endereco]]))/10000000</f>
        <v>-51.098876699999998</v>
      </c>
    </row>
    <row r="55" spans="1:6" x14ac:dyDescent="0.25">
      <c r="A55" s="1" t="s">
        <v>13</v>
      </c>
      <c r="B55" s="1" t="s">
        <v>42</v>
      </c>
      <c r="C55" t="s">
        <v>130</v>
      </c>
      <c r="D55" t="s">
        <v>102</v>
      </c>
      <c r="E55">
        <f>GetLatitude(CONCATENATE(Tabela1[[#This Row],[Cidade]],", ",Tabela1[[#This Row],[Endereco]]))/10000000</f>
        <v>-29.744719499999999</v>
      </c>
      <c r="F55">
        <f>GetLongitude(CONCATENATE(Tabela1[[#This Row],[Cidade]],", ",Tabela1[[#This Row],[Endereco]]))/10000000</f>
        <v>-51.096324799999998</v>
      </c>
    </row>
    <row r="56" spans="1:6" x14ac:dyDescent="0.25">
      <c r="A56" s="1" t="s">
        <v>14</v>
      </c>
      <c r="B56" s="1" t="s">
        <v>42</v>
      </c>
      <c r="C56" t="s">
        <v>130</v>
      </c>
      <c r="D56" t="s">
        <v>103</v>
      </c>
      <c r="E56">
        <f>GetLatitude(CONCATENATE(Tabela1[[#This Row],[Cidade]],", ",Tabela1[[#This Row],[Endereco]]))/10000000</f>
        <v>-29.766580300000001</v>
      </c>
      <c r="F56">
        <f>GetLongitude(CONCATENATE(Tabela1[[#This Row],[Cidade]],", ",Tabela1[[#This Row],[Endereco]]))/10000000</f>
        <v>-51.093496700000003</v>
      </c>
    </row>
    <row r="57" spans="1:6" x14ac:dyDescent="0.25">
      <c r="A57" s="1" t="s">
        <v>15</v>
      </c>
      <c r="B57" s="1" t="s">
        <v>42</v>
      </c>
      <c r="C57" t="s">
        <v>130</v>
      </c>
      <c r="D57" t="s">
        <v>104</v>
      </c>
      <c r="E57">
        <f>GetLatitude(CONCATENATE(Tabela1[[#This Row],[Cidade]],", ",Tabela1[[#This Row],[Endereco]]))/10000000</f>
        <v>-29.762926799999999</v>
      </c>
      <c r="F57">
        <f>GetLongitude(CONCATENATE(Tabela1[[#This Row],[Cidade]],", ",Tabela1[[#This Row],[Endereco]]))/10000000</f>
        <v>-51.093297100000001</v>
      </c>
    </row>
    <row r="58" spans="1:6" x14ac:dyDescent="0.25">
      <c r="A58" s="1" t="s">
        <v>16</v>
      </c>
      <c r="B58" s="1" t="s">
        <v>42</v>
      </c>
      <c r="C58" t="s">
        <v>130</v>
      </c>
      <c r="D58" t="s">
        <v>105</v>
      </c>
      <c r="E58">
        <f>GetLatitude(CONCATENATE(Tabela1[[#This Row],[Cidade]],", ",Tabela1[[#This Row],[Endereco]]))/10000000</f>
        <v>-29.7509689</v>
      </c>
      <c r="F58">
        <f>GetLongitude(CONCATENATE(Tabela1[[#This Row],[Cidade]],", ",Tabela1[[#This Row],[Endereco]]))/10000000</f>
        <v>-51.147497899999998</v>
      </c>
    </row>
    <row r="59" spans="1:6" x14ac:dyDescent="0.25">
      <c r="A59" s="1" t="s">
        <v>17</v>
      </c>
      <c r="B59" s="1" t="s">
        <v>42</v>
      </c>
      <c r="C59" t="s">
        <v>130</v>
      </c>
      <c r="D59" t="s">
        <v>106</v>
      </c>
      <c r="E59">
        <f>GetLatitude(CONCATENATE(Tabela1[[#This Row],[Cidade]],", ",Tabela1[[#This Row],[Endereco]]))/10000000</f>
        <v>-29.759155</v>
      </c>
      <c r="F59">
        <f>GetLongitude(CONCATENATE(Tabela1[[#This Row],[Cidade]],", ",Tabela1[[#This Row],[Endereco]]))/10000000</f>
        <v>-51.1105071</v>
      </c>
    </row>
    <row r="60" spans="1:6" x14ac:dyDescent="0.25">
      <c r="A60" s="1" t="s">
        <v>18</v>
      </c>
      <c r="B60" s="1" t="s">
        <v>42</v>
      </c>
      <c r="C60" t="s">
        <v>130</v>
      </c>
      <c r="D60" t="s">
        <v>107</v>
      </c>
      <c r="E60">
        <f>GetLatitude(CONCATENATE(Tabela1[[#This Row],[Cidade]],", ",Tabela1[[#This Row],[Endereco]]))/10000000</f>
        <v>-29.748435000000001</v>
      </c>
      <c r="F60">
        <f>GetLongitude(CONCATENATE(Tabela1[[#This Row],[Cidade]],", ",Tabela1[[#This Row],[Endereco]]))/10000000</f>
        <v>-51.157639000000003</v>
      </c>
    </row>
    <row r="61" spans="1:6" x14ac:dyDescent="0.25">
      <c r="A61" s="1" t="s">
        <v>19</v>
      </c>
      <c r="B61" s="1" t="s">
        <v>42</v>
      </c>
      <c r="C61" t="s">
        <v>130</v>
      </c>
      <c r="D61" t="s">
        <v>108</v>
      </c>
      <c r="E61">
        <f>GetLatitude(CONCATENATE(Tabela1[[#This Row],[Cidade]],", ",Tabela1[[#This Row],[Endereco]]))/10000000</f>
        <v>-29.733226899999998</v>
      </c>
      <c r="F61">
        <f>GetLongitude(CONCATENATE(Tabela1[[#This Row],[Cidade]],", ",Tabela1[[#This Row],[Endereco]]))/10000000</f>
        <v>-51.154817999999999</v>
      </c>
    </row>
    <row r="62" spans="1:6" x14ac:dyDescent="0.25">
      <c r="A62" s="1" t="s">
        <v>20</v>
      </c>
      <c r="B62" s="1" t="s">
        <v>42</v>
      </c>
      <c r="C62" t="s">
        <v>130</v>
      </c>
      <c r="D62" t="s">
        <v>109</v>
      </c>
      <c r="E62">
        <f>GetLatitude(CONCATENATE(Tabela1[[#This Row],[Cidade]],", ",Tabela1[[#This Row],[Endereco]]))/10000000</f>
        <v>-29.774961000000001</v>
      </c>
      <c r="F62">
        <f>GetLongitude(CONCATENATE(Tabela1[[#This Row],[Cidade]],", ",Tabela1[[#This Row],[Endereco]]))/10000000</f>
        <v>-51.159376999999999</v>
      </c>
    </row>
    <row r="63" spans="1:6" x14ac:dyDescent="0.25">
      <c r="A63" s="1" t="s">
        <v>21</v>
      </c>
      <c r="B63" s="1" t="s">
        <v>42</v>
      </c>
      <c r="C63" t="s">
        <v>130</v>
      </c>
      <c r="D63" t="s">
        <v>110</v>
      </c>
      <c r="E63">
        <f>GetLatitude(CONCATENATE(Tabela1[[#This Row],[Cidade]],", ",Tabela1[[#This Row],[Endereco]]))/10000000</f>
        <v>-29.754994100000001</v>
      </c>
      <c r="F63">
        <f>GetLongitude(CONCATENATE(Tabela1[[#This Row],[Cidade]],", ",Tabela1[[#This Row],[Endereco]]))/10000000</f>
        <v>-51.150283000000002</v>
      </c>
    </row>
    <row r="64" spans="1:6" x14ac:dyDescent="0.25">
      <c r="A64" s="1" t="s">
        <v>22</v>
      </c>
      <c r="B64" s="1" t="s">
        <v>42</v>
      </c>
      <c r="C64" t="s">
        <v>130</v>
      </c>
      <c r="D64" t="s">
        <v>111</v>
      </c>
      <c r="E64">
        <f>GetLatitude(CONCATENATE(Tabela1[[#This Row],[Cidade]],", ",Tabela1[[#This Row],[Endereco]]))/10000000</f>
        <v>-29.733094300000001</v>
      </c>
      <c r="F64">
        <f>GetLongitude(CONCATENATE(Tabela1[[#This Row],[Cidade]],", ",Tabela1[[#This Row],[Endereco]]))/10000000</f>
        <v>-51.161556900000001</v>
      </c>
    </row>
    <row r="65" spans="1:6" x14ac:dyDescent="0.25">
      <c r="A65" s="1" t="s">
        <v>26</v>
      </c>
      <c r="B65" s="1" t="s">
        <v>42</v>
      </c>
      <c r="C65" t="s">
        <v>130</v>
      </c>
      <c r="D65" t="s">
        <v>112</v>
      </c>
      <c r="E65">
        <f>GetLatitude(CONCATENATE(Tabela1[[#This Row],[Cidade]],", ",Tabela1[[#This Row],[Endereco]]))/10000000</f>
        <v>-29.777913600000002</v>
      </c>
      <c r="F65">
        <f>GetLongitude(CONCATENATE(Tabela1[[#This Row],[Cidade]],", ",Tabela1[[#This Row],[Endereco]]))/10000000</f>
        <v>-51.153360399999997</v>
      </c>
    </row>
    <row r="66" spans="1:6" x14ac:dyDescent="0.25">
      <c r="A66" s="1" t="s">
        <v>0</v>
      </c>
      <c r="B66" s="1" t="s">
        <v>43</v>
      </c>
      <c r="C66" t="s">
        <v>131</v>
      </c>
      <c r="D66" t="s">
        <v>113</v>
      </c>
      <c r="E66">
        <f>GetLatitude(CONCATENATE(Tabela1[[#This Row],[Cidade]],", ",Tabela1[[#This Row],[Endereco]]))/10000000</f>
        <v>-29.678517899999999</v>
      </c>
      <c r="F66">
        <f>GetLongitude(CONCATENATE(Tabela1[[#This Row],[Cidade]],", ",Tabela1[[#This Row],[Endereco]]))/10000000</f>
        <v>-51.067219000000001</v>
      </c>
    </row>
    <row r="67" spans="1:6" x14ac:dyDescent="0.25">
      <c r="A67" s="1" t="s">
        <v>1</v>
      </c>
      <c r="B67" s="1" t="s">
        <v>43</v>
      </c>
      <c r="C67" t="s">
        <v>131</v>
      </c>
      <c r="D67" t="s">
        <v>114</v>
      </c>
      <c r="E67">
        <f>GetLatitude(CONCATENATE(Tabela1[[#This Row],[Cidade]],", ",Tabela1[[#This Row],[Endereco]]))/10000000</f>
        <v>-29.677493200000001</v>
      </c>
      <c r="F67">
        <f>GetLongitude(CONCATENATE(Tabela1[[#This Row],[Cidade]],", ",Tabela1[[#This Row],[Endereco]]))/10000000</f>
        <v>-51.082627700000003</v>
      </c>
    </row>
    <row r="68" spans="1:6" x14ac:dyDescent="0.25">
      <c r="A68" s="1" t="s">
        <v>2</v>
      </c>
      <c r="B68" s="1" t="s">
        <v>43</v>
      </c>
      <c r="C68" t="s">
        <v>131</v>
      </c>
      <c r="D68" t="s">
        <v>115</v>
      </c>
      <c r="E68">
        <f>GetLatitude(CONCATENATE(Tabela1[[#This Row],[Cidade]],", ",Tabela1[[#This Row],[Endereco]]))/10000000</f>
        <v>-29.692360799999999</v>
      </c>
      <c r="F68">
        <f>GetLongitude(CONCATENATE(Tabela1[[#This Row],[Cidade]],", ",Tabela1[[#This Row],[Endereco]]))/10000000</f>
        <v>-51.0579058</v>
      </c>
    </row>
    <row r="69" spans="1:6" x14ac:dyDescent="0.25">
      <c r="A69" s="1" t="s">
        <v>3</v>
      </c>
      <c r="B69" s="1" t="s">
        <v>43</v>
      </c>
      <c r="C69" t="s">
        <v>131</v>
      </c>
      <c r="D69" t="s">
        <v>116</v>
      </c>
      <c r="E69">
        <f>GetLatitude(CONCATENATE(Tabela1[[#This Row],[Cidade]],", ",Tabela1[[#This Row],[Endereco]]))/10000000</f>
        <v>-29.675591399999998</v>
      </c>
      <c r="F69">
        <f>GetLongitude(CONCATENATE(Tabela1[[#This Row],[Cidade]],", ",Tabela1[[#This Row],[Endereco]]))/10000000</f>
        <v>-51.0544096</v>
      </c>
    </row>
    <row r="70" spans="1:6" x14ac:dyDescent="0.25">
      <c r="A70" s="1" t="s">
        <v>4</v>
      </c>
      <c r="B70" s="1" t="s">
        <v>43</v>
      </c>
      <c r="C70" t="s">
        <v>131</v>
      </c>
      <c r="D70" t="s">
        <v>117</v>
      </c>
      <c r="E70">
        <f>GetLatitude(CONCATENATE(Tabela1[[#This Row],[Cidade]],", ",Tabela1[[#This Row],[Endereco]]))/10000000</f>
        <v>-29.685154699999998</v>
      </c>
      <c r="F70">
        <f>GetLongitude(CONCATENATE(Tabela1[[#This Row],[Cidade]],", ",Tabela1[[#This Row],[Endereco]]))/10000000</f>
        <v>-51.043683000000001</v>
      </c>
    </row>
    <row r="71" spans="1:6" x14ac:dyDescent="0.25">
      <c r="A71" s="1" t="s">
        <v>6</v>
      </c>
      <c r="B71" s="1" t="s">
        <v>43</v>
      </c>
      <c r="C71" t="s">
        <v>131</v>
      </c>
      <c r="D71" t="s">
        <v>118</v>
      </c>
      <c r="E71">
        <f>GetLatitude(CONCATENATE(Tabela1[[#This Row],[Cidade]],", ",Tabela1[[#This Row],[Endereco]]))/10000000</f>
        <v>-29.692700299999998</v>
      </c>
      <c r="F71">
        <f>GetLongitude(CONCATENATE(Tabela1[[#This Row],[Cidade]],", ",Tabela1[[#This Row],[Endereco]]))/10000000</f>
        <v>-51.074723200000001</v>
      </c>
    </row>
    <row r="72" spans="1:6" x14ac:dyDescent="0.25">
      <c r="A72" s="1" t="s">
        <v>39</v>
      </c>
      <c r="B72" s="1" t="s">
        <v>43</v>
      </c>
      <c r="C72" t="s">
        <v>131</v>
      </c>
      <c r="D72" t="s">
        <v>119</v>
      </c>
      <c r="E72">
        <f>GetLatitude(CONCATENATE(Tabela1[[#This Row],[Cidade]],", ",Tabela1[[#This Row],[Endereco]]))/10000000</f>
        <v>-29.6801754</v>
      </c>
      <c r="F72">
        <f>GetLongitude(CONCATENATE(Tabela1[[#This Row],[Cidade]],", ",Tabela1[[#This Row],[Endereco]]))/10000000</f>
        <v>-51.060530800000002</v>
      </c>
    </row>
    <row r="73" spans="1:6" x14ac:dyDescent="0.25">
      <c r="A73" s="1" t="s">
        <v>39</v>
      </c>
      <c r="B73" s="1" t="s">
        <v>44</v>
      </c>
      <c r="C73" t="s">
        <v>132</v>
      </c>
      <c r="D73" t="s">
        <v>46</v>
      </c>
      <c r="E73">
        <f>GetLatitude(CONCATENATE(Tabela1[[#This Row],[Cidade]],", ",Tabela1[[#This Row],[Endereco]]))/10000000</f>
        <v>-29.635708399999999</v>
      </c>
      <c r="F73">
        <f>GetLongitude(CONCATENATE(Tabela1[[#This Row],[Cidade]],", ",Tabela1[[#This Row],[Endereco]]))/10000000</f>
        <v>-51.005908099999999</v>
      </c>
    </row>
    <row r="74" spans="1:6" x14ac:dyDescent="0.25">
      <c r="A74" s="1" t="s">
        <v>0</v>
      </c>
      <c r="B74" s="1" t="s">
        <v>44</v>
      </c>
      <c r="C74" t="s">
        <v>132</v>
      </c>
      <c r="D74" t="s">
        <v>120</v>
      </c>
      <c r="E74">
        <f>GetLatitude(CONCATENATE(Tabela1[[#This Row],[Cidade]],", ",Tabela1[[#This Row],[Endereco]]))/10000000</f>
        <v>-29.638692899999999</v>
      </c>
      <c r="F74">
        <f>GetLongitude(CONCATENATE(Tabela1[[#This Row],[Cidade]],", ",Tabela1[[#This Row],[Endereco]]))/10000000</f>
        <v>-51.008105899999997</v>
      </c>
    </row>
    <row r="75" spans="1:6" x14ac:dyDescent="0.25">
      <c r="A75" s="1" t="s">
        <v>1</v>
      </c>
      <c r="B75" s="1" t="s">
        <v>44</v>
      </c>
      <c r="C75" t="s">
        <v>132</v>
      </c>
      <c r="D75" t="s">
        <v>121</v>
      </c>
      <c r="E75">
        <f>GetLatitude(CONCATENATE(Tabela1[[#This Row],[Cidade]],", ",Tabela1[[#This Row],[Endereco]]))/10000000</f>
        <v>-29.634404700000001</v>
      </c>
      <c r="F75">
        <f>GetLongitude(CONCATENATE(Tabela1[[#This Row],[Cidade]],", ",Tabela1[[#This Row],[Endereco]]))/10000000</f>
        <v>-50.996085999999998</v>
      </c>
    </row>
    <row r="76" spans="1:6" x14ac:dyDescent="0.25">
      <c r="A76" s="1" t="s">
        <v>2</v>
      </c>
      <c r="B76" s="1" t="s">
        <v>44</v>
      </c>
      <c r="C76" t="s">
        <v>132</v>
      </c>
      <c r="D76" t="s">
        <v>122</v>
      </c>
      <c r="E76">
        <f>GetLatitude(CONCATENATE(Tabela1[[#This Row],[Cidade]],", ",Tabela1[[#This Row],[Endereco]]))/10000000</f>
        <v>-29.628741099999999</v>
      </c>
      <c r="F76">
        <f>GetLongitude(CONCATENATE(Tabela1[[#This Row],[Cidade]],", ",Tabela1[[#This Row],[Endereco]]))/10000000</f>
        <v>-51.009905699999997</v>
      </c>
    </row>
    <row r="77" spans="1:6" x14ac:dyDescent="0.25">
      <c r="A77" s="1" t="s">
        <v>3</v>
      </c>
      <c r="B77" s="1" t="s">
        <v>44</v>
      </c>
      <c r="C77" t="s">
        <v>132</v>
      </c>
      <c r="D77" t="s">
        <v>123</v>
      </c>
      <c r="E77">
        <f>GetLatitude(CONCATENATE(Tabela1[[#This Row],[Cidade]],", ",Tabela1[[#This Row],[Endereco]]))/10000000</f>
        <v>-29.6477109</v>
      </c>
      <c r="F77">
        <f>GetLongitude(CONCATENATE(Tabela1[[#This Row],[Cidade]],", ",Tabela1[[#This Row],[Endereco]]))/10000000</f>
        <v>-51.003701900000003</v>
      </c>
    </row>
    <row r="78" spans="1:6" x14ac:dyDescent="0.25">
      <c r="A78" s="1" t="s">
        <v>1</v>
      </c>
      <c r="B78" s="1" t="s">
        <v>45</v>
      </c>
      <c r="C78" t="s">
        <v>133</v>
      </c>
      <c r="D78" t="s">
        <v>124</v>
      </c>
      <c r="E78">
        <f>GetLatitude(CONCATENATE(Tabela1[[#This Row],[Cidade]],", ",Tabela1[[#This Row],[Endereco]]))/10000000</f>
        <v>-29.651599900000001</v>
      </c>
      <c r="F78">
        <f>GetLongitude(CONCATENATE(Tabela1[[#This Row],[Cidade]],", ",Tabela1[[#This Row],[Endereco]]))/10000000</f>
        <v>-51.1705811</v>
      </c>
    </row>
    <row r="79" spans="1:6" x14ac:dyDescent="0.25">
      <c r="A79" s="1" t="s">
        <v>2</v>
      </c>
      <c r="B79" s="1" t="s">
        <v>45</v>
      </c>
      <c r="C79" t="s">
        <v>133</v>
      </c>
      <c r="D79" t="s">
        <v>125</v>
      </c>
      <c r="E79">
        <f>GetLatitude(CONCATENATE(Tabela1[[#This Row],[Cidade]],", ",Tabela1[[#This Row],[Endereco]]))/10000000</f>
        <v>-29.6517698</v>
      </c>
      <c r="F79">
        <f>GetLongitude(CONCATENATE(Tabela1[[#This Row],[Cidade]],", ",Tabela1[[#This Row],[Endereco]]))/10000000</f>
        <v>-51.184016700000001</v>
      </c>
    </row>
    <row r="80" spans="1:6" x14ac:dyDescent="0.25">
      <c r="A80" s="1" t="s">
        <v>3</v>
      </c>
      <c r="B80" s="1" t="s">
        <v>45</v>
      </c>
      <c r="C80" t="s">
        <v>133</v>
      </c>
      <c r="D80" t="s">
        <v>126</v>
      </c>
      <c r="E80">
        <f>GetLatitude(CONCATENATE(Tabela1[[#This Row],[Cidade]],", ",Tabela1[[#This Row],[Endereco]]))/10000000</f>
        <v>-29.6644313</v>
      </c>
      <c r="F80">
        <f>GetLongitude(CONCATENATE(Tabela1[[#This Row],[Cidade]],", ",Tabela1[[#This Row],[Endereco]]))/10000000</f>
        <v>-51.147246299999999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Antônio Della Flora</cp:lastModifiedBy>
  <dcterms:created xsi:type="dcterms:W3CDTF">2019-05-05T18:42:35Z</dcterms:created>
  <dcterms:modified xsi:type="dcterms:W3CDTF">2019-05-05T22:29:12Z</dcterms:modified>
</cp:coreProperties>
</file>